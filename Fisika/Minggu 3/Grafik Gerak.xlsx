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SEMESTER 7\Fisika\Minggu 3\"/>
    </mc:Choice>
  </mc:AlternateContent>
  <xr:revisionPtr revIDLastSave="0" documentId="13_ncr:1_{B09A927D-0AA4-4BB7-9BD2-FB4A72579EE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o.1" sheetId="1" r:id="rId1"/>
    <sheet name="No.2" sheetId="2" r:id="rId2"/>
    <sheet name="No.3" sheetId="3" r:id="rId3"/>
    <sheet name="No.4" sheetId="4" r:id="rId4"/>
  </sheets>
  <calcPr calcId="191029"/>
  <extLst>
    <ext uri="GoogleSheetsCustomDataVersion2">
      <go:sheetsCustomData xmlns:go="http://customooxmlschemas.google.com/" r:id="rId8" roundtripDataChecksum="qWecQdbxkud9lBuyT3iQdi+iZzYUIB14K5Xp2jgNNN0="/>
    </ext>
  </extLst>
</workbook>
</file>

<file path=xl/calcChain.xml><?xml version="1.0" encoding="utf-8"?>
<calcChain xmlns="http://schemas.openxmlformats.org/spreadsheetml/2006/main">
  <c r="N16" i="3" l="1"/>
  <c r="N17" i="3"/>
  <c r="N18" i="3"/>
  <c r="N19" i="3"/>
  <c r="N15" i="3"/>
  <c r="M16" i="3"/>
  <c r="M17" i="3"/>
  <c r="M18" i="3"/>
  <c r="M19" i="3"/>
  <c r="M15" i="3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6" i="2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6" i="1"/>
  <c r="P8" i="4"/>
  <c r="L8" i="4"/>
  <c r="H8" i="4"/>
  <c r="D8" i="4"/>
  <c r="P7" i="4"/>
  <c r="L7" i="4"/>
  <c r="H7" i="4"/>
  <c r="D7" i="4"/>
  <c r="P6" i="4"/>
  <c r="L6" i="4"/>
  <c r="H6" i="4"/>
  <c r="D6" i="4"/>
  <c r="P5" i="4"/>
  <c r="L5" i="4"/>
  <c r="H5" i="4"/>
  <c r="D5" i="4"/>
  <c r="P4" i="4"/>
  <c r="L4" i="4"/>
  <c r="H4" i="4"/>
  <c r="D4" i="4"/>
  <c r="H8" i="3"/>
  <c r="D8" i="3"/>
  <c r="H7" i="3"/>
  <c r="D7" i="3"/>
  <c r="H6" i="3"/>
  <c r="D6" i="3"/>
  <c r="H5" i="3"/>
  <c r="D5" i="3"/>
  <c r="H4" i="3"/>
  <c r="D4" i="3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</calcChain>
</file>

<file path=xl/sharedStrings.xml><?xml version="1.0" encoding="utf-8"?>
<sst xmlns="http://schemas.openxmlformats.org/spreadsheetml/2006/main" count="105" uniqueCount="53">
  <si>
    <t>Fungsi Kecepatan vs Waktu</t>
  </si>
  <si>
    <t>Fungsi Posisi vs Waktu</t>
  </si>
  <si>
    <t>Fungsi Percepatan vs Waktu</t>
  </si>
  <si>
    <t>Garis</t>
  </si>
  <si>
    <t>Pilih Persamaan</t>
  </si>
  <si>
    <t>Persamaan Umum</t>
  </si>
  <si>
    <t>Koefisien a</t>
  </si>
  <si>
    <t>Koefisien b</t>
  </si>
  <si>
    <t>Koefisien c</t>
  </si>
  <si>
    <t>Persamaan</t>
  </si>
  <si>
    <t>A-B</t>
  </si>
  <si>
    <t>Persamaan Linier</t>
  </si>
  <si>
    <t>Persamaan Kuadrat</t>
  </si>
  <si>
    <t>B-C</t>
  </si>
  <si>
    <t>C-D</t>
  </si>
  <si>
    <t>D-E</t>
  </si>
  <si>
    <t>E-F</t>
  </si>
  <si>
    <t>(8/3)</t>
  </si>
  <si>
    <t>(-440/3)</t>
  </si>
  <si>
    <t>catatan : kolom warna krem tidak perlu diisi</t>
  </si>
  <si>
    <t>1,33</t>
  </si>
  <si>
    <t>-146,67</t>
  </si>
  <si>
    <t>4033,33</t>
  </si>
  <si>
    <t>2,67</t>
  </si>
  <si>
    <t>Persamaan :</t>
  </si>
  <si>
    <t>x = 3t + 1</t>
  </si>
  <si>
    <r>
      <rPr>
        <sz val="11"/>
        <color theme="1"/>
        <rFont val="Calibri"/>
      </rPr>
      <t>x = -4t + 2t</t>
    </r>
    <r>
      <rPr>
        <vertAlign val="superscript"/>
        <sz val="11"/>
        <color theme="1"/>
        <rFont val="Calibri"/>
      </rPr>
      <t>2</t>
    </r>
  </si>
  <si>
    <t>t (s)</t>
  </si>
  <si>
    <t>x (t)</t>
  </si>
  <si>
    <t>v (t)</t>
  </si>
  <si>
    <t>a (t)</t>
  </si>
  <si>
    <t>x(t) (m)</t>
  </si>
  <si>
    <t>posisi gerak benda dengan waktu</t>
  </si>
  <si>
    <t>v(t) (m/s)</t>
  </si>
  <si>
    <t>a(t) (m/s2)</t>
  </si>
  <si>
    <t>kecepatan gerak benda dengan waktu</t>
  </si>
  <si>
    <t>percepatan gerak benda dengan waktu</t>
  </si>
  <si>
    <t>x = 3t+1</t>
  </si>
  <si>
    <t>x = -4t + 2t2</t>
  </si>
  <si>
    <t>koefisien a</t>
  </si>
  <si>
    <t>koefisien b</t>
  </si>
  <si>
    <t>t awal</t>
  </si>
  <si>
    <t>t akhir</t>
  </si>
  <si>
    <t>v awal</t>
  </si>
  <si>
    <t>v akhir</t>
  </si>
  <si>
    <t>a = ( Kecepatan akhir - Kecepatan awal ) / ( Waktu awal - Waktu akhir )</t>
  </si>
  <si>
    <t>b = v akhir - at</t>
  </si>
  <si>
    <t>v = 6t + 0</t>
  </si>
  <si>
    <t>v = 0t + 60</t>
  </si>
  <si>
    <t>Persamaan ( v = at  + b)</t>
  </si>
  <si>
    <t>v = -4t + 120</t>
  </si>
  <si>
    <t>v = 2,666666667t + (- 146,666667)</t>
  </si>
  <si>
    <t>Rumus koefisien: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</si>
</sst>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i/>
      <sz val="11"/>
      <color rgb="FFFF0000"/>
      <name val="Calibri"/>
    </font>
    <font>
      <sz val="11"/>
      <color theme="1"/>
      <name val="&quot;Google Sans Text&quot;"/>
    </font>
    <font>
      <sz val="12"/>
      <color rgb="FF1F1F1F"/>
      <name val="Roboto"/>
    </font>
    <font>
      <b/>
      <sz val="11"/>
      <color theme="1"/>
      <name val="&quot;Google Sans Text&quot;"/>
    </font>
    <font>
      <vertAlign val="superscript"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2" borderId="1" xfId="0" applyFont="1" applyFill="1" applyBorder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6" fillId="0" borderId="2" xfId="0" applyFont="1" applyBorder="1"/>
    <xf numFmtId="0" fontId="7" fillId="3" borderId="0" xfId="0" applyFont="1" applyFill="1"/>
    <xf numFmtId="0" fontId="8" fillId="0" borderId="2" xfId="0" applyFont="1" applyBorder="1"/>
    <xf numFmtId="0" fontId="3" fillId="0" borderId="0" xfId="0" applyFont="1"/>
    <xf numFmtId="0" fontId="1" fillId="0" borderId="0" xfId="0" applyFont="1"/>
    <xf numFmtId="0" fontId="11" fillId="0" borderId="0" xfId="0" applyFont="1" applyAlignment="1">
      <alignment horizontal="left"/>
    </xf>
    <xf numFmtId="0" fontId="10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/>
    <xf numFmtId="0" fontId="10" fillId="4" borderId="10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135796486977587E-2"/>
          <c:y val="0.19335478513512461"/>
          <c:w val="0.87837189582071473"/>
          <c:h val="0.68570975868159678"/>
        </c:manualLayout>
      </c:layout>
      <c:scatterChart>
        <c:scatterStyle val="lineMarker"/>
        <c:varyColors val="0"/>
        <c:ser>
          <c:idx val="0"/>
          <c:order val="0"/>
          <c:tx>
            <c:strRef>
              <c:f>No.1!$D$5</c:f>
              <c:strCache>
                <c:ptCount val="1"/>
                <c:pt idx="0">
                  <c:v>x = 3t+1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No.1!$B$6:$B$26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No.1!$D$6:$D$26</c:f>
              <c:numCache>
                <c:formatCode>General</c:formatCode>
                <c:ptCount val="21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19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31</c:v>
                </c:pt>
                <c:pt idx="11">
                  <c:v>34</c:v>
                </c:pt>
                <c:pt idx="12">
                  <c:v>37</c:v>
                </c:pt>
                <c:pt idx="13">
                  <c:v>40</c:v>
                </c:pt>
                <c:pt idx="14">
                  <c:v>43</c:v>
                </c:pt>
                <c:pt idx="15">
                  <c:v>46</c:v>
                </c:pt>
                <c:pt idx="16">
                  <c:v>49</c:v>
                </c:pt>
                <c:pt idx="17">
                  <c:v>52</c:v>
                </c:pt>
                <c:pt idx="18">
                  <c:v>55</c:v>
                </c:pt>
                <c:pt idx="19">
                  <c:v>58</c:v>
                </c:pt>
                <c:pt idx="20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FD-4DE4-BDAF-927C54C28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487696"/>
        <c:axId val="2028486736"/>
      </c:scatterChart>
      <c:valAx>
        <c:axId val="202848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86736"/>
        <c:crosses val="autoZero"/>
        <c:crossBetween val="midCat"/>
      </c:valAx>
      <c:valAx>
        <c:axId val="202848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8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No.1!$E$5</c:f>
              <c:strCache>
                <c:ptCount val="1"/>
                <c:pt idx="0">
                  <c:v>v(t)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No.1!$B$6:$B$26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No.1!$E$6:$E$26</c:f>
              <c:numCache>
                <c:formatCode>General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A5-4A0F-8600-C207DDCE7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8495920"/>
        <c:axId val="2028494960"/>
      </c:scatterChart>
      <c:valAx>
        <c:axId val="202849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94960"/>
        <c:crosses val="autoZero"/>
        <c:crossBetween val="midCat"/>
      </c:valAx>
      <c:valAx>
        <c:axId val="20284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49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No.1!$F$5</c:f>
              <c:strCache>
                <c:ptCount val="1"/>
                <c:pt idx="0">
                  <c:v>a(t) (m/s2)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No.1!$B$6:$B$26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No.1!$F$6:$F$26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87-49E9-8BE6-6245013DE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3750096"/>
        <c:axId val="2055930096"/>
      </c:scatterChart>
      <c:valAx>
        <c:axId val="202375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930096"/>
        <c:crosses val="autoZero"/>
        <c:crossBetween val="midCat"/>
      </c:valAx>
      <c:valAx>
        <c:axId val="20559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75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No.2!$D$5</c:f>
              <c:strCache>
                <c:ptCount val="1"/>
                <c:pt idx="0">
                  <c:v>x = -4t + 2t2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No.2!$B$6:$B$26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No.2!$D$6:$D$26</c:f>
              <c:numCache>
                <c:formatCode>General</c:formatCode>
                <c:ptCount val="21"/>
                <c:pt idx="0">
                  <c:v>0</c:v>
                </c:pt>
                <c:pt idx="1">
                  <c:v>-2</c:v>
                </c:pt>
                <c:pt idx="2">
                  <c:v>0</c:v>
                </c:pt>
                <c:pt idx="3">
                  <c:v>6</c:v>
                </c:pt>
                <c:pt idx="4">
                  <c:v>16</c:v>
                </c:pt>
                <c:pt idx="5">
                  <c:v>30</c:v>
                </c:pt>
                <c:pt idx="6">
                  <c:v>48</c:v>
                </c:pt>
                <c:pt idx="7">
                  <c:v>70</c:v>
                </c:pt>
                <c:pt idx="8">
                  <c:v>96</c:v>
                </c:pt>
                <c:pt idx="9">
                  <c:v>126</c:v>
                </c:pt>
                <c:pt idx="10">
                  <c:v>160</c:v>
                </c:pt>
                <c:pt idx="11">
                  <c:v>198</c:v>
                </c:pt>
                <c:pt idx="12">
                  <c:v>240</c:v>
                </c:pt>
                <c:pt idx="13">
                  <c:v>286</c:v>
                </c:pt>
                <c:pt idx="14">
                  <c:v>336</c:v>
                </c:pt>
                <c:pt idx="15">
                  <c:v>390</c:v>
                </c:pt>
                <c:pt idx="16">
                  <c:v>448</c:v>
                </c:pt>
                <c:pt idx="17">
                  <c:v>510</c:v>
                </c:pt>
                <c:pt idx="18">
                  <c:v>576</c:v>
                </c:pt>
                <c:pt idx="19">
                  <c:v>646</c:v>
                </c:pt>
                <c:pt idx="20">
                  <c:v>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C-43A5-AB39-5A3767771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57856"/>
        <c:axId val="47458336"/>
      </c:scatterChart>
      <c:valAx>
        <c:axId val="474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8336"/>
        <c:crosses val="autoZero"/>
        <c:crossBetween val="midCat"/>
      </c:valAx>
      <c:valAx>
        <c:axId val="474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No.2!$E$5</c:f>
              <c:strCache>
                <c:ptCount val="1"/>
                <c:pt idx="0">
                  <c:v>v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No.2!$B$6:$B$26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No.2!$E$6:$E$26</c:f>
              <c:numCache>
                <c:formatCode>General</c:formatCode>
                <c:ptCount val="21"/>
                <c:pt idx="0">
                  <c:v>-4</c:v>
                </c:pt>
                <c:pt idx="1">
                  <c:v>0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  <c:pt idx="7">
                  <c:v>24</c:v>
                </c:pt>
                <c:pt idx="8">
                  <c:v>28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44</c:v>
                </c:pt>
                <c:pt idx="13">
                  <c:v>48</c:v>
                </c:pt>
                <c:pt idx="14">
                  <c:v>52</c:v>
                </c:pt>
                <c:pt idx="15">
                  <c:v>56</c:v>
                </c:pt>
                <c:pt idx="16">
                  <c:v>60</c:v>
                </c:pt>
                <c:pt idx="17">
                  <c:v>64</c:v>
                </c:pt>
                <c:pt idx="18">
                  <c:v>68</c:v>
                </c:pt>
                <c:pt idx="19">
                  <c:v>72</c:v>
                </c:pt>
                <c:pt idx="20">
                  <c:v>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6A-49C8-A670-AA09D889E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57856"/>
        <c:axId val="47456896"/>
      </c:scatterChart>
      <c:valAx>
        <c:axId val="4745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6896"/>
        <c:crosses val="autoZero"/>
        <c:crossBetween val="midCat"/>
      </c:valAx>
      <c:valAx>
        <c:axId val="474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5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No.2!$F$5</c:f>
              <c:strCache>
                <c:ptCount val="1"/>
                <c:pt idx="0">
                  <c:v>a 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No.2!$B$6:$B$26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No.2!$F$6:$F$26</c:f>
              <c:numCache>
                <c:formatCode>General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5C-4709-BD7D-728961C01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064064"/>
        <c:axId val="1899062144"/>
      </c:scatterChart>
      <c:valAx>
        <c:axId val="189906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62144"/>
        <c:crosses val="autoZero"/>
        <c:crossBetween val="midCat"/>
      </c:valAx>
      <c:valAx>
        <c:axId val="189906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6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108324</xdr:colOff>
      <xdr:row>5</xdr:row>
      <xdr:rowOff>44076</xdr:rowOff>
    </xdr:from>
    <xdr:to>
      <xdr:col>14</xdr:col>
      <xdr:colOff>560294</xdr:colOff>
      <xdr:row>18</xdr:row>
      <xdr:rowOff>52294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3A6723-4FD0-80BA-FE11-416F1726A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346030</xdr:colOff>
      <xdr:row>5</xdr:row>
      <xdr:rowOff>27242</xdr:rowOff>
    </xdr:from>
    <xdr:to>
      <xdr:col>22</xdr:col>
      <xdr:colOff>441739</xdr:colOff>
      <xdr:row>18</xdr:row>
      <xdr:rowOff>64420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30864-63A0-2630-5BB9-92B570A80E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106064</xdr:colOff>
      <xdr:row>20</xdr:row>
      <xdr:rowOff>126862</xdr:rowOff>
    </xdr:from>
    <xdr:to>
      <xdr:col>15</xdr:col>
      <xdr:colOff>426325</xdr:colOff>
      <xdr:row>35</xdr:row>
      <xdr:rowOff>63178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415CA1-069C-5724-6E90-1B8A65506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32956</xdr:colOff>
      <xdr:row>5</xdr:row>
      <xdr:rowOff>131500</xdr:rowOff>
    </xdr:from>
    <xdr:to>
      <xdr:col>12</xdr:col>
      <xdr:colOff>490317</xdr:colOff>
      <xdr:row>16</xdr:row>
      <xdr:rowOff>16074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B47A3-7309-411F-F8C6-2505BE186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587577</xdr:colOff>
      <xdr:row>6</xdr:row>
      <xdr:rowOff>2894</xdr:rowOff>
    </xdr:from>
    <xdr:to>
      <xdr:col>20</xdr:col>
      <xdr:colOff>16076</xdr:colOff>
      <xdr:row>16</xdr:row>
      <xdr:rowOff>16075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D1A508-3307-EAB3-43FF-285DCC62C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603652</xdr:colOff>
      <xdr:row>21</xdr:row>
      <xdr:rowOff>187767</xdr:rowOff>
    </xdr:from>
    <xdr:to>
      <xdr:col>16</xdr:col>
      <xdr:colOff>265253</xdr:colOff>
      <xdr:row>33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39D823-3F73-9071-E7E1-FF137F037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542925</xdr:colOff>
      <xdr:row>9</xdr:row>
      <xdr:rowOff>171450</xdr:rowOff>
    </xdr:from>
    <xdr:ext cx="4267200" cy="27336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152525" y="1856317"/>
          <a:ext cx="4267200" cy="2733675"/>
          <a:chOff x="3212400" y="2413163"/>
          <a:chExt cx="4267200" cy="27336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212400" y="2413163"/>
            <a:ext cx="4267200" cy="2733675"/>
            <a:chOff x="7206712" y="669026"/>
            <a:chExt cx="4267200" cy="26003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7206712" y="669026"/>
              <a:ext cx="4267200" cy="2600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 descr="Velocity-Time Graphs Qualitative | Physics Quiz - Quizizz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7206712" y="669026"/>
              <a:ext cx="4267200" cy="2600325"/>
            </a:xfrm>
            <a:prstGeom prst="rect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round/>
              <a:headEnd type="none" w="sm" len="sm"/>
              <a:tailEnd type="none" w="sm" len="sm"/>
            </a:ln>
          </xdr:spPr>
        </xdr:pic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7308681" y="2219116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A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7968562" y="1209222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B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8392241" y="1209222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C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/>
          </xdr:nvSpPr>
          <xdr:spPr>
            <a:xfrm>
              <a:off x="9287933" y="2113893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D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10710203" y="2113893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F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>
              <a:off x="9863623" y="2680228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E</a:t>
              </a:r>
              <a:endParaRPr sz="1800" b="1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590550</xdr:colOff>
      <xdr:row>12</xdr:row>
      <xdr:rowOff>19050</xdr:rowOff>
    </xdr:from>
    <xdr:ext cx="5876925" cy="27241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197941" y="2264557"/>
          <a:ext cx="5876925" cy="2724150"/>
          <a:chOff x="2407538" y="2417925"/>
          <a:chExt cx="5876925" cy="2724150"/>
        </a:xfrm>
      </xdr:grpSpPr>
      <xdr:grpSp>
        <xdr:nvGrpSpPr>
          <xdr:cNvPr id="12" name="Shape 12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GrpSpPr/>
        </xdr:nvGrpSpPr>
        <xdr:grpSpPr>
          <a:xfrm>
            <a:off x="2407538" y="2417925"/>
            <a:ext cx="5876925" cy="2724150"/>
            <a:chOff x="7206712" y="669026"/>
            <a:chExt cx="4267200" cy="260032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7206712" y="669026"/>
              <a:ext cx="4267200" cy="2600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3" name="Shape 13" descr="Velocity-Time Graphs Qualitative | Physics Quiz - Quizizz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7206712" y="669026"/>
              <a:ext cx="4267200" cy="2600325"/>
            </a:xfrm>
            <a:prstGeom prst="rect">
              <a:avLst/>
            </a:prstGeom>
            <a:noFill/>
            <a:ln w="9525" cap="flat" cmpd="sng">
              <a:solidFill>
                <a:schemeClr val="accent1"/>
              </a:solidFill>
              <a:prstDash val="solid"/>
              <a:round/>
              <a:headEnd type="none" w="sm" len="sm"/>
              <a:tailEnd type="none" w="sm" len="sm"/>
            </a:ln>
          </xdr:spPr>
        </xdr:pic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 txBox="1"/>
          </xdr:nvSpPr>
          <xdr:spPr>
            <a:xfrm>
              <a:off x="7308681" y="2219116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A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 txBox="1"/>
          </xdr:nvSpPr>
          <xdr:spPr>
            <a:xfrm>
              <a:off x="7968562" y="1209222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B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 txBox="1"/>
          </xdr:nvSpPr>
          <xdr:spPr>
            <a:xfrm>
              <a:off x="8392241" y="1209222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C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 txBox="1"/>
          </xdr:nvSpPr>
          <xdr:spPr>
            <a:xfrm>
              <a:off x="9287933" y="2113893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D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 txBox="1"/>
          </xdr:nvSpPr>
          <xdr:spPr>
            <a:xfrm>
              <a:off x="10710203" y="2113893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F</a:t>
              </a:r>
              <a:endParaRPr sz="1800" b="1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 txBox="1"/>
          </xdr:nvSpPr>
          <xdr:spPr>
            <a:xfrm>
              <a:off x="9863623" y="2680228"/>
              <a:ext cx="24584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800" b="1">
                  <a:solidFill>
                    <a:srgbClr val="FF0000"/>
                  </a:solidFill>
                </a:rPr>
                <a:t>E</a:t>
              </a:r>
              <a:endParaRPr sz="1800" b="1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Z1000"/>
  <sheetViews>
    <sheetView tabSelected="1" zoomScale="68" zoomScaleNormal="70" workbookViewId="0">
      <selection activeCell="U28" sqref="U28"/>
    </sheetView>
  </sheetViews>
  <sheetFormatPr defaultColWidth="14.453125" defaultRowHeight="15" customHeight="1" outlineLevelRow="1" outlineLevelCol="1"/>
  <cols>
    <col min="1" max="1" width="8.7265625" customWidth="1"/>
    <col min="2" max="2" width="9.7265625" customWidth="1" outlineLevel="1"/>
    <col min="3" max="3" width="9.90625" customWidth="1" outlineLevel="1"/>
    <col min="4" max="4" width="12.81640625" customWidth="1" outlineLevel="1"/>
    <col min="5" max="5" width="11.7265625" customWidth="1" outlineLevel="1"/>
    <col min="6" max="6" width="13.81640625" customWidth="1"/>
    <col min="7" max="26" width="8.7265625" customWidth="1"/>
  </cols>
  <sheetData>
    <row r="3" spans="1:26" ht="14.5">
      <c r="B3" s="6" t="s">
        <v>24</v>
      </c>
      <c r="C3" s="3" t="s">
        <v>25</v>
      </c>
    </row>
    <row r="5" spans="1:26" ht="15.5" outlineLevel="1">
      <c r="A5" s="2"/>
      <c r="B5" s="7" t="s">
        <v>27</v>
      </c>
      <c r="C5" s="7" t="s">
        <v>31</v>
      </c>
      <c r="D5" s="2" t="s">
        <v>37</v>
      </c>
      <c r="E5" s="7" t="s">
        <v>33</v>
      </c>
      <c r="F5" s="7" t="s">
        <v>34</v>
      </c>
      <c r="I5" s="2"/>
      <c r="J5" s="2"/>
      <c r="K5" s="2"/>
      <c r="L5" s="2" t="s">
        <v>32</v>
      </c>
      <c r="M5" s="2"/>
      <c r="N5" s="8"/>
      <c r="O5" s="2"/>
      <c r="P5" s="2"/>
      <c r="Q5" s="2"/>
      <c r="R5" s="2"/>
      <c r="S5" s="2" t="s">
        <v>35</v>
      </c>
      <c r="T5" s="2"/>
      <c r="U5" s="2"/>
      <c r="V5" s="2"/>
      <c r="W5" s="2"/>
      <c r="X5" s="2"/>
      <c r="Y5" s="2"/>
      <c r="Z5" s="2"/>
    </row>
    <row r="6" spans="1:26" ht="14.5" outlineLevel="1">
      <c r="B6" s="9">
        <v>0</v>
      </c>
      <c r="C6" s="7">
        <v>1</v>
      </c>
      <c r="D6">
        <f>3*B6 +1</f>
        <v>1</v>
      </c>
      <c r="E6" s="7">
        <v>3</v>
      </c>
      <c r="F6" s="7">
        <v>0</v>
      </c>
    </row>
    <row r="7" spans="1:26" ht="14.5" outlineLevel="1">
      <c r="B7" s="9">
        <v>1</v>
      </c>
      <c r="C7" s="7">
        <v>4</v>
      </c>
      <c r="D7">
        <f t="shared" ref="D7:D26" si="0">3*B7 +1</f>
        <v>4</v>
      </c>
      <c r="E7" s="7">
        <v>3</v>
      </c>
      <c r="F7" s="7">
        <v>0</v>
      </c>
    </row>
    <row r="8" spans="1:26" ht="14.5" outlineLevel="1">
      <c r="B8" s="9">
        <v>2</v>
      </c>
      <c r="C8" s="7">
        <v>7</v>
      </c>
      <c r="D8">
        <f t="shared" si="0"/>
        <v>7</v>
      </c>
      <c r="E8" s="7">
        <v>3</v>
      </c>
      <c r="F8" s="7">
        <v>0</v>
      </c>
    </row>
    <row r="9" spans="1:26" ht="14.5" outlineLevel="1">
      <c r="B9" s="9">
        <v>3</v>
      </c>
      <c r="C9" s="7">
        <v>10</v>
      </c>
      <c r="D9">
        <f t="shared" si="0"/>
        <v>10</v>
      </c>
      <c r="E9" s="7">
        <v>3</v>
      </c>
      <c r="F9" s="7">
        <v>0</v>
      </c>
    </row>
    <row r="10" spans="1:26" ht="14.5" outlineLevel="1">
      <c r="B10" s="9">
        <v>4</v>
      </c>
      <c r="C10" s="7">
        <v>13</v>
      </c>
      <c r="D10">
        <f t="shared" si="0"/>
        <v>13</v>
      </c>
      <c r="E10" s="7">
        <v>3</v>
      </c>
      <c r="F10" s="7">
        <v>0</v>
      </c>
    </row>
    <row r="11" spans="1:26" ht="14.5" outlineLevel="1">
      <c r="B11" s="9">
        <v>5</v>
      </c>
      <c r="C11" s="7">
        <v>16</v>
      </c>
      <c r="D11">
        <f t="shared" si="0"/>
        <v>16</v>
      </c>
      <c r="E11" s="7">
        <v>3</v>
      </c>
      <c r="F11" s="7">
        <v>0</v>
      </c>
    </row>
    <row r="12" spans="1:26" ht="14.5" outlineLevel="1">
      <c r="B12" s="9">
        <v>6</v>
      </c>
      <c r="C12" s="7">
        <v>19</v>
      </c>
      <c r="D12">
        <f t="shared" si="0"/>
        <v>19</v>
      </c>
      <c r="E12" s="7">
        <v>3</v>
      </c>
      <c r="F12" s="7">
        <v>0</v>
      </c>
    </row>
    <row r="13" spans="1:26" ht="14.5" outlineLevel="1">
      <c r="B13" s="9">
        <v>7</v>
      </c>
      <c r="C13" s="7">
        <v>22</v>
      </c>
      <c r="D13">
        <f t="shared" si="0"/>
        <v>22</v>
      </c>
      <c r="E13" s="7">
        <v>3</v>
      </c>
      <c r="F13" s="7">
        <v>0</v>
      </c>
    </row>
    <row r="14" spans="1:26" ht="14.5" outlineLevel="1">
      <c r="B14" s="9">
        <v>8</v>
      </c>
      <c r="C14" s="7">
        <v>25</v>
      </c>
      <c r="D14">
        <f t="shared" si="0"/>
        <v>25</v>
      </c>
      <c r="E14" s="7">
        <v>3</v>
      </c>
      <c r="F14" s="7">
        <v>0</v>
      </c>
    </row>
    <row r="15" spans="1:26" ht="14.5" outlineLevel="1">
      <c r="B15" s="9">
        <v>9</v>
      </c>
      <c r="C15" s="7">
        <v>28</v>
      </c>
      <c r="D15">
        <f t="shared" si="0"/>
        <v>28</v>
      </c>
      <c r="E15" s="7">
        <v>3</v>
      </c>
      <c r="F15" s="7">
        <v>0</v>
      </c>
    </row>
    <row r="16" spans="1:26" ht="14.5" outlineLevel="1">
      <c r="B16" s="9">
        <v>10</v>
      </c>
      <c r="C16" s="7">
        <v>31</v>
      </c>
      <c r="D16">
        <f t="shared" si="0"/>
        <v>31</v>
      </c>
      <c r="E16" s="7">
        <v>3</v>
      </c>
      <c r="F16" s="7">
        <v>0</v>
      </c>
    </row>
    <row r="17" spans="2:11" ht="14.5" outlineLevel="1">
      <c r="B17" s="9">
        <v>11</v>
      </c>
      <c r="C17" s="7">
        <v>34</v>
      </c>
      <c r="D17">
        <f t="shared" si="0"/>
        <v>34</v>
      </c>
      <c r="E17" s="7">
        <v>3</v>
      </c>
      <c r="F17" s="7">
        <v>0</v>
      </c>
    </row>
    <row r="18" spans="2:11" ht="14.5" outlineLevel="1">
      <c r="B18" s="9">
        <v>12</v>
      </c>
      <c r="C18" s="7">
        <v>37</v>
      </c>
      <c r="D18">
        <f t="shared" si="0"/>
        <v>37</v>
      </c>
      <c r="E18" s="7">
        <v>3</v>
      </c>
      <c r="F18" s="7">
        <v>0</v>
      </c>
    </row>
    <row r="19" spans="2:11" ht="14.5" outlineLevel="1">
      <c r="B19" s="9">
        <v>13</v>
      </c>
      <c r="C19" s="7">
        <v>40</v>
      </c>
      <c r="D19">
        <f t="shared" si="0"/>
        <v>40</v>
      </c>
      <c r="E19" s="7">
        <v>3</v>
      </c>
      <c r="F19" s="7">
        <v>0</v>
      </c>
    </row>
    <row r="20" spans="2:11" ht="15.5" outlineLevel="1">
      <c r="B20" s="9">
        <v>14</v>
      </c>
      <c r="C20" s="7">
        <v>43</v>
      </c>
      <c r="D20">
        <f t="shared" si="0"/>
        <v>43</v>
      </c>
      <c r="E20" s="7">
        <v>3</v>
      </c>
      <c r="F20" s="7">
        <v>0</v>
      </c>
      <c r="K20" s="8" t="s">
        <v>36</v>
      </c>
    </row>
    <row r="21" spans="2:11" ht="15.75" customHeight="1" outlineLevel="1">
      <c r="B21" s="9">
        <v>15</v>
      </c>
      <c r="C21" s="7">
        <v>46</v>
      </c>
      <c r="D21">
        <f t="shared" si="0"/>
        <v>46</v>
      </c>
      <c r="E21" s="7">
        <v>3</v>
      </c>
      <c r="F21" s="7">
        <v>0</v>
      </c>
    </row>
    <row r="22" spans="2:11" ht="15.75" customHeight="1" outlineLevel="1">
      <c r="B22" s="9">
        <v>16</v>
      </c>
      <c r="C22" s="7">
        <v>49</v>
      </c>
      <c r="D22">
        <f t="shared" si="0"/>
        <v>49</v>
      </c>
      <c r="E22" s="7">
        <v>3</v>
      </c>
      <c r="F22" s="7">
        <v>0</v>
      </c>
    </row>
    <row r="23" spans="2:11" ht="15.75" customHeight="1" outlineLevel="1">
      <c r="B23" s="9">
        <v>17</v>
      </c>
      <c r="C23" s="7">
        <v>52</v>
      </c>
      <c r="D23">
        <f t="shared" si="0"/>
        <v>52</v>
      </c>
      <c r="E23" s="7">
        <v>3</v>
      </c>
      <c r="F23" s="7">
        <v>0</v>
      </c>
    </row>
    <row r="24" spans="2:11" ht="15.75" customHeight="1" outlineLevel="1">
      <c r="B24" s="9">
        <v>18</v>
      </c>
      <c r="C24" s="7">
        <v>55</v>
      </c>
      <c r="D24">
        <f t="shared" si="0"/>
        <v>55</v>
      </c>
      <c r="E24" s="7">
        <v>3</v>
      </c>
      <c r="F24" s="7">
        <v>0</v>
      </c>
    </row>
    <row r="25" spans="2:11" ht="15.75" customHeight="1" outlineLevel="1">
      <c r="B25" s="9">
        <v>19</v>
      </c>
      <c r="C25" s="7">
        <v>58</v>
      </c>
      <c r="D25">
        <f t="shared" si="0"/>
        <v>58</v>
      </c>
      <c r="E25" s="7">
        <v>3</v>
      </c>
      <c r="F25" s="7">
        <v>0</v>
      </c>
    </row>
    <row r="26" spans="2:11" ht="15.75" customHeight="1" outlineLevel="1">
      <c r="B26" s="9">
        <v>20</v>
      </c>
      <c r="C26" s="7">
        <v>61</v>
      </c>
      <c r="D26">
        <f t="shared" si="0"/>
        <v>61</v>
      </c>
      <c r="E26" s="7">
        <v>3</v>
      </c>
      <c r="F26" s="7">
        <v>0</v>
      </c>
    </row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O1000"/>
  <sheetViews>
    <sheetView topLeftCell="A15" zoomScale="79" workbookViewId="0">
      <selection activeCell="R35" sqref="R35"/>
    </sheetView>
  </sheetViews>
  <sheetFormatPr defaultColWidth="14.453125" defaultRowHeight="15" customHeight="1"/>
  <cols>
    <col min="1" max="3" width="8.7265625" customWidth="1"/>
    <col min="4" max="4" width="11.81640625" customWidth="1"/>
    <col min="5" max="26" width="8.7265625" customWidth="1"/>
  </cols>
  <sheetData>
    <row r="3" spans="2:15" ht="16.5">
      <c r="B3" s="6" t="s">
        <v>24</v>
      </c>
      <c r="C3" s="10" t="s">
        <v>26</v>
      </c>
    </row>
    <row r="5" spans="2:15" ht="14.5">
      <c r="B5" s="2" t="s">
        <v>27</v>
      </c>
      <c r="C5" s="2" t="s">
        <v>28</v>
      </c>
      <c r="D5" t="s">
        <v>38</v>
      </c>
      <c r="E5" s="2" t="s">
        <v>29</v>
      </c>
      <c r="F5" s="2" t="s">
        <v>30</v>
      </c>
      <c r="H5" s="3" t="s">
        <v>32</v>
      </c>
      <c r="M5" s="3"/>
      <c r="O5" t="s">
        <v>35</v>
      </c>
    </row>
    <row r="6" spans="2:15" ht="14.5">
      <c r="B6" s="2">
        <v>0</v>
      </c>
      <c r="C6" s="3">
        <f t="shared" ref="C6:C26" si="0">-4*B6+2*B6*B6</f>
        <v>0</v>
      </c>
      <c r="D6">
        <f xml:space="preserve"> -4*B6 + 2*B6^2</f>
        <v>0</v>
      </c>
      <c r="E6" s="3">
        <f>4*B6-4</f>
        <v>-4</v>
      </c>
      <c r="F6" s="3">
        <v>4</v>
      </c>
    </row>
    <row r="7" spans="2:15" ht="14.5">
      <c r="B7" s="2">
        <v>1</v>
      </c>
      <c r="C7" s="3">
        <f t="shared" si="0"/>
        <v>-2</v>
      </c>
      <c r="D7">
        <f t="shared" ref="D7:D26" si="1" xml:space="preserve"> -4*B7 + 2*B7^2</f>
        <v>-2</v>
      </c>
      <c r="E7" s="3">
        <f>4*B7-4</f>
        <v>0</v>
      </c>
      <c r="F7" s="3">
        <v>4</v>
      </c>
    </row>
    <row r="8" spans="2:15" ht="14.5">
      <c r="B8" s="2">
        <v>2</v>
      </c>
      <c r="C8" s="3">
        <f t="shared" si="0"/>
        <v>0</v>
      </c>
      <c r="D8">
        <f t="shared" si="1"/>
        <v>0</v>
      </c>
      <c r="E8" s="3">
        <f>4*B8-4</f>
        <v>4</v>
      </c>
      <c r="F8" s="3">
        <v>4</v>
      </c>
    </row>
    <row r="9" spans="2:15" ht="14.5">
      <c r="B9" s="2">
        <v>3</v>
      </c>
      <c r="C9" s="3">
        <f t="shared" si="0"/>
        <v>6</v>
      </c>
      <c r="D9">
        <f t="shared" si="1"/>
        <v>6</v>
      </c>
      <c r="E9" s="3">
        <f>4*B9-4</f>
        <v>8</v>
      </c>
      <c r="F9" s="3">
        <v>4</v>
      </c>
    </row>
    <row r="10" spans="2:15" ht="14.5">
      <c r="B10" s="2">
        <v>4</v>
      </c>
      <c r="C10" s="3">
        <f t="shared" si="0"/>
        <v>16</v>
      </c>
      <c r="D10">
        <f t="shared" si="1"/>
        <v>16</v>
      </c>
      <c r="E10" s="3">
        <f>4*B10-4</f>
        <v>12</v>
      </c>
      <c r="F10" s="3">
        <v>4</v>
      </c>
    </row>
    <row r="11" spans="2:15" ht="14.5">
      <c r="B11" s="2">
        <v>5</v>
      </c>
      <c r="C11" s="3">
        <f t="shared" si="0"/>
        <v>30</v>
      </c>
      <c r="D11">
        <f t="shared" si="1"/>
        <v>30</v>
      </c>
      <c r="E11" s="3">
        <f>4*B11-4</f>
        <v>16</v>
      </c>
      <c r="F11" s="3">
        <v>4</v>
      </c>
    </row>
    <row r="12" spans="2:15" ht="14.5">
      <c r="B12" s="2">
        <v>6</v>
      </c>
      <c r="C12" s="3">
        <f t="shared" si="0"/>
        <v>48</v>
      </c>
      <c r="D12">
        <f t="shared" si="1"/>
        <v>48</v>
      </c>
      <c r="E12" s="3">
        <f>4*B12-4</f>
        <v>20</v>
      </c>
      <c r="F12" s="3">
        <v>4</v>
      </c>
    </row>
    <row r="13" spans="2:15" ht="14.5">
      <c r="B13" s="2">
        <v>7</v>
      </c>
      <c r="C13" s="3">
        <f t="shared" si="0"/>
        <v>70</v>
      </c>
      <c r="D13">
        <f t="shared" si="1"/>
        <v>70</v>
      </c>
      <c r="E13" s="3">
        <f>4*B13-4</f>
        <v>24</v>
      </c>
      <c r="F13" s="3">
        <v>4</v>
      </c>
    </row>
    <row r="14" spans="2:15" ht="14.5">
      <c r="B14" s="2">
        <v>8</v>
      </c>
      <c r="C14" s="3">
        <f t="shared" si="0"/>
        <v>96</v>
      </c>
      <c r="D14">
        <f t="shared" si="1"/>
        <v>96</v>
      </c>
      <c r="E14" s="3">
        <f>4*B14-4</f>
        <v>28</v>
      </c>
      <c r="F14" s="3">
        <v>4</v>
      </c>
    </row>
    <row r="15" spans="2:15" ht="14.5">
      <c r="B15" s="2">
        <v>9</v>
      </c>
      <c r="C15" s="3">
        <f t="shared" si="0"/>
        <v>126</v>
      </c>
      <c r="D15">
        <f t="shared" si="1"/>
        <v>126</v>
      </c>
      <c r="E15" s="3">
        <f>4*B15-4</f>
        <v>32</v>
      </c>
      <c r="F15" s="3">
        <v>4</v>
      </c>
    </row>
    <row r="16" spans="2:15" ht="14.5">
      <c r="B16" s="2">
        <v>10</v>
      </c>
      <c r="C16" s="3">
        <f t="shared" si="0"/>
        <v>160</v>
      </c>
      <c r="D16">
        <f t="shared" si="1"/>
        <v>160</v>
      </c>
      <c r="E16" s="3">
        <f>4*B16-4</f>
        <v>36</v>
      </c>
      <c r="F16" s="3">
        <v>4</v>
      </c>
    </row>
    <row r="17" spans="2:11" ht="14.5">
      <c r="B17" s="2">
        <v>11</v>
      </c>
      <c r="C17" s="3">
        <f t="shared" si="0"/>
        <v>198</v>
      </c>
      <c r="D17">
        <f t="shared" si="1"/>
        <v>198</v>
      </c>
      <c r="E17" s="3">
        <f>4*B17-4</f>
        <v>40</v>
      </c>
      <c r="F17" s="3">
        <v>4</v>
      </c>
    </row>
    <row r="18" spans="2:11" ht="14.5">
      <c r="B18" s="2">
        <v>12</v>
      </c>
      <c r="C18" s="3">
        <f t="shared" si="0"/>
        <v>240</v>
      </c>
      <c r="D18">
        <f t="shared" si="1"/>
        <v>240</v>
      </c>
      <c r="E18" s="3">
        <f>4*B18-4</f>
        <v>44</v>
      </c>
      <c r="F18" s="3">
        <v>4</v>
      </c>
    </row>
    <row r="19" spans="2:11" ht="14.5">
      <c r="B19" s="2">
        <v>13</v>
      </c>
      <c r="C19" s="3">
        <f t="shared" si="0"/>
        <v>286</v>
      </c>
      <c r="D19">
        <f t="shared" si="1"/>
        <v>286</v>
      </c>
      <c r="E19" s="3">
        <f>4*B19-4</f>
        <v>48</v>
      </c>
      <c r="F19" s="3">
        <v>4</v>
      </c>
    </row>
    <row r="20" spans="2:11" ht="14.5">
      <c r="B20" s="2">
        <v>14</v>
      </c>
      <c r="C20" s="3">
        <f t="shared" si="0"/>
        <v>336</v>
      </c>
      <c r="D20">
        <f t="shared" si="1"/>
        <v>336</v>
      </c>
      <c r="E20" s="3">
        <f>4*B20-4</f>
        <v>52</v>
      </c>
      <c r="F20" s="3">
        <v>4</v>
      </c>
    </row>
    <row r="21" spans="2:11" ht="15.75" customHeight="1">
      <c r="B21" s="2">
        <v>15</v>
      </c>
      <c r="C21" s="3">
        <f t="shared" si="0"/>
        <v>390</v>
      </c>
      <c r="D21">
        <f t="shared" si="1"/>
        <v>390</v>
      </c>
      <c r="E21" s="3">
        <f>4*B21-4</f>
        <v>56</v>
      </c>
      <c r="F21" s="3">
        <v>4</v>
      </c>
      <c r="K21" s="3" t="s">
        <v>36</v>
      </c>
    </row>
    <row r="22" spans="2:11" ht="15.75" customHeight="1">
      <c r="B22" s="2">
        <v>16</v>
      </c>
      <c r="C22" s="3">
        <f t="shared" si="0"/>
        <v>448</v>
      </c>
      <c r="D22">
        <f t="shared" si="1"/>
        <v>448</v>
      </c>
      <c r="E22" s="3">
        <f>4*B22-4</f>
        <v>60</v>
      </c>
      <c r="F22" s="3">
        <v>4</v>
      </c>
    </row>
    <row r="23" spans="2:11" ht="15.75" customHeight="1">
      <c r="B23" s="2">
        <v>17</v>
      </c>
      <c r="C23" s="3">
        <f t="shared" si="0"/>
        <v>510</v>
      </c>
      <c r="D23">
        <f t="shared" si="1"/>
        <v>510</v>
      </c>
      <c r="E23" s="3">
        <f>4*B23-4</f>
        <v>64</v>
      </c>
      <c r="F23" s="3">
        <v>4</v>
      </c>
    </row>
    <row r="24" spans="2:11" ht="15.75" customHeight="1">
      <c r="B24" s="2">
        <v>18</v>
      </c>
      <c r="C24" s="3">
        <f t="shared" si="0"/>
        <v>576</v>
      </c>
      <c r="D24">
        <f t="shared" si="1"/>
        <v>576</v>
      </c>
      <c r="E24" s="3">
        <f>4*B24-4</f>
        <v>68</v>
      </c>
      <c r="F24" s="3">
        <v>4</v>
      </c>
    </row>
    <row r="25" spans="2:11" ht="15.75" customHeight="1">
      <c r="B25" s="2">
        <v>19</v>
      </c>
      <c r="C25" s="3">
        <f t="shared" si="0"/>
        <v>646</v>
      </c>
      <c r="D25">
        <f t="shared" si="1"/>
        <v>646</v>
      </c>
      <c r="E25" s="3">
        <f>4*B25-4</f>
        <v>72</v>
      </c>
      <c r="F25" s="3">
        <v>4</v>
      </c>
    </row>
    <row r="26" spans="2:11" ht="15.75" customHeight="1">
      <c r="B26" s="2">
        <v>20</v>
      </c>
      <c r="C26" s="3">
        <f t="shared" si="0"/>
        <v>720</v>
      </c>
      <c r="D26">
        <f t="shared" si="1"/>
        <v>720</v>
      </c>
      <c r="E26" s="3">
        <f>4*B26-4</f>
        <v>76</v>
      </c>
      <c r="F26" s="3">
        <v>4</v>
      </c>
    </row>
    <row r="27" spans="2:11" ht="15.75" customHeight="1"/>
    <row r="28" spans="2:11" ht="15.75" customHeight="1"/>
    <row r="29" spans="2:11" ht="15.75" customHeight="1"/>
    <row r="30" spans="2:11" ht="15.75" customHeight="1"/>
    <row r="31" spans="2:11" ht="15.75" customHeight="1"/>
    <row r="32" spans="2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2" type="noConversion"/>
  <printOptions gridLines="1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1" zoomScale="75" workbookViewId="0">
      <selection activeCell="K8" sqref="K8"/>
    </sheetView>
  </sheetViews>
  <sheetFormatPr defaultColWidth="14.453125" defaultRowHeight="15" customHeight="1"/>
  <cols>
    <col min="1" max="2" width="8.7265625" customWidth="1"/>
    <col min="3" max="3" width="15.7265625" customWidth="1"/>
    <col min="4" max="4" width="17.26953125" customWidth="1"/>
    <col min="5" max="5" width="12.08984375" customWidth="1"/>
    <col min="6" max="6" width="12.26953125" customWidth="1"/>
    <col min="7" max="7" width="11.81640625" customWidth="1"/>
    <col min="8" max="8" width="14.08984375" customWidth="1"/>
    <col min="9" max="10" width="8.7265625" customWidth="1"/>
    <col min="11" max="11" width="12.7265625" customWidth="1"/>
    <col min="12" max="12" width="11.54296875" customWidth="1"/>
    <col min="13" max="13" width="12.90625" customWidth="1"/>
    <col min="14" max="14" width="13.08984375" customWidth="1"/>
    <col min="15" max="15" width="33.54296875" customWidth="1"/>
    <col min="16" max="26" width="8.7265625" customWidth="1"/>
  </cols>
  <sheetData>
    <row r="1" spans="1:26" ht="14.5">
      <c r="B1" s="27" t="s">
        <v>0</v>
      </c>
    </row>
    <row r="3" spans="1:26" ht="14.5">
      <c r="A3" s="2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B4" s="2" t="s">
        <v>10</v>
      </c>
      <c r="C4" s="3" t="s">
        <v>11</v>
      </c>
      <c r="D4" s="4" t="str">
        <f t="shared" ref="D4:D8" si="0">IF(C4="Persamaan linier","v = at + b",IF(C4="Persamaan kuadrat","v = at² + bt + c",""))</f>
        <v>v = at + b</v>
      </c>
      <c r="E4" s="3">
        <v>6</v>
      </c>
      <c r="F4" s="3">
        <v>0</v>
      </c>
      <c r="H4" s="4" t="str">
        <f t="shared" ref="H4:H8" si="1">IF(C4="Persamaan linier","v = "&amp;E4&amp;"t"&amp;" + "&amp;F4,IF(C4="Persamaan kuadrat","v = "&amp;E4&amp;"t²"&amp;" + "&amp;F4&amp;"t"&amp;" + "&amp;G4,""))</f>
        <v>v = 6t + 0</v>
      </c>
    </row>
    <row r="5" spans="1:26" ht="14.5">
      <c r="B5" s="2" t="s">
        <v>13</v>
      </c>
      <c r="C5" s="3" t="s">
        <v>11</v>
      </c>
      <c r="D5" s="4" t="str">
        <f t="shared" si="0"/>
        <v>v = at + b</v>
      </c>
      <c r="E5" s="3">
        <v>0</v>
      </c>
      <c r="F5" s="3">
        <v>60</v>
      </c>
      <c r="H5" s="4" t="str">
        <f t="shared" si="1"/>
        <v>v = 0t + 60</v>
      </c>
    </row>
    <row r="6" spans="1:26" ht="14.5">
      <c r="B6" s="2" t="s">
        <v>14</v>
      </c>
      <c r="C6" s="3" t="s">
        <v>11</v>
      </c>
      <c r="D6" s="4" t="str">
        <f t="shared" si="0"/>
        <v>v = at + b</v>
      </c>
      <c r="E6" s="3">
        <v>-4</v>
      </c>
      <c r="F6" s="3">
        <v>120</v>
      </c>
      <c r="H6" s="4" t="str">
        <f t="shared" si="1"/>
        <v>v = -4t + 120</v>
      </c>
    </row>
    <row r="7" spans="1:26" ht="14.5">
      <c r="B7" s="2" t="s">
        <v>15</v>
      </c>
      <c r="C7" s="3" t="s">
        <v>11</v>
      </c>
      <c r="D7" s="4" t="str">
        <f t="shared" si="0"/>
        <v>v = at + b</v>
      </c>
      <c r="E7" s="3">
        <v>-4</v>
      </c>
      <c r="F7" s="3">
        <v>120</v>
      </c>
      <c r="H7" s="4" t="str">
        <f t="shared" si="1"/>
        <v>v = -4t + 120</v>
      </c>
    </row>
    <row r="8" spans="1:26" ht="14.5">
      <c r="B8" s="2" t="s">
        <v>16</v>
      </c>
      <c r="C8" s="3" t="s">
        <v>11</v>
      </c>
      <c r="D8" s="4" t="str">
        <f t="shared" si="0"/>
        <v>v = at + b</v>
      </c>
      <c r="E8" s="3" t="s">
        <v>17</v>
      </c>
      <c r="F8" s="3" t="s">
        <v>18</v>
      </c>
      <c r="H8" s="4" t="str">
        <f t="shared" si="1"/>
        <v>v = (8/3)t + (-440/3)</v>
      </c>
    </row>
    <row r="9" spans="1:26" ht="14.5">
      <c r="B9" s="5" t="s">
        <v>19</v>
      </c>
    </row>
    <row r="10" spans="1:26" ht="14.5">
      <c r="B10" s="2"/>
    </row>
    <row r="11" spans="1:26" ht="14.5">
      <c r="B11" s="2"/>
    </row>
    <row r="12" spans="1:26" ht="14.5">
      <c r="B12" s="2"/>
      <c r="H12" s="13" t="s">
        <v>0</v>
      </c>
      <c r="I12" s="13"/>
      <c r="J12" s="11"/>
    </row>
    <row r="13" spans="1:26" ht="15" customHeight="1" thickBot="1">
      <c r="Q13" s="12" t="s">
        <v>52</v>
      </c>
    </row>
    <row r="14" spans="1:26" ht="15" customHeight="1">
      <c r="H14" s="22" t="s">
        <v>3</v>
      </c>
      <c r="I14" s="19" t="s">
        <v>41</v>
      </c>
      <c r="J14" s="20" t="s">
        <v>42</v>
      </c>
      <c r="K14" s="19" t="s">
        <v>43</v>
      </c>
      <c r="L14" s="19" t="s">
        <v>44</v>
      </c>
      <c r="M14" s="19" t="s">
        <v>39</v>
      </c>
      <c r="N14" s="19" t="s">
        <v>40</v>
      </c>
      <c r="O14" s="21" t="s">
        <v>49</v>
      </c>
      <c r="Q14" s="12" t="s">
        <v>45</v>
      </c>
    </row>
    <row r="15" spans="1:26" ht="15" customHeight="1">
      <c r="H15" s="23" t="s">
        <v>10</v>
      </c>
      <c r="I15" s="14">
        <v>0</v>
      </c>
      <c r="J15" s="15">
        <v>10</v>
      </c>
      <c r="K15" s="14">
        <v>0</v>
      </c>
      <c r="L15" s="14">
        <v>60</v>
      </c>
      <c r="M15" s="14">
        <f>(L15-K15)/(J15-I15)</f>
        <v>6</v>
      </c>
      <c r="N15" s="14">
        <f>L15-(M15*J15)</f>
        <v>0</v>
      </c>
      <c r="O15" s="25" t="s">
        <v>47</v>
      </c>
      <c r="Q15" s="11" t="s">
        <v>46</v>
      </c>
    </row>
    <row r="16" spans="1:26" ht="15" customHeight="1">
      <c r="H16" s="23" t="s">
        <v>13</v>
      </c>
      <c r="I16" s="14">
        <v>10</v>
      </c>
      <c r="J16" s="15">
        <v>15</v>
      </c>
      <c r="K16" s="14">
        <v>60</v>
      </c>
      <c r="L16" s="14">
        <v>60</v>
      </c>
      <c r="M16" s="14">
        <f t="shared" ref="M16:M19" si="2">(L16-K16)/(J16-I16)</f>
        <v>0</v>
      </c>
      <c r="N16" s="14">
        <f t="shared" ref="N16:N19" si="3">L16-(M16*J16)</f>
        <v>60</v>
      </c>
      <c r="O16" s="25" t="s">
        <v>48</v>
      </c>
    </row>
    <row r="17" spans="8:15" ht="15" customHeight="1">
      <c r="H17" s="23" t="s">
        <v>14</v>
      </c>
      <c r="I17" s="14">
        <v>15</v>
      </c>
      <c r="J17" s="15">
        <v>30</v>
      </c>
      <c r="K17" s="14">
        <v>60</v>
      </c>
      <c r="L17" s="14">
        <v>0</v>
      </c>
      <c r="M17" s="14">
        <f t="shared" si="2"/>
        <v>-4</v>
      </c>
      <c r="N17" s="14">
        <f t="shared" si="3"/>
        <v>120</v>
      </c>
      <c r="O17" s="25" t="s">
        <v>50</v>
      </c>
    </row>
    <row r="18" spans="8:15" ht="15" customHeight="1">
      <c r="H18" s="23" t="s">
        <v>15</v>
      </c>
      <c r="I18" s="14">
        <v>30</v>
      </c>
      <c r="J18" s="15">
        <v>40</v>
      </c>
      <c r="K18" s="14">
        <v>0</v>
      </c>
      <c r="L18" s="14">
        <v>-40</v>
      </c>
      <c r="M18" s="14">
        <f t="shared" si="2"/>
        <v>-4</v>
      </c>
      <c r="N18" s="14">
        <f t="shared" si="3"/>
        <v>120</v>
      </c>
      <c r="O18" s="25" t="s">
        <v>50</v>
      </c>
    </row>
    <row r="19" spans="8:15" ht="15" customHeight="1" thickBot="1">
      <c r="H19" s="24" t="s">
        <v>16</v>
      </c>
      <c r="I19" s="16">
        <v>40</v>
      </c>
      <c r="J19" s="17">
        <v>55</v>
      </c>
      <c r="K19" s="18">
        <v>-40</v>
      </c>
      <c r="L19" s="18">
        <v>0</v>
      </c>
      <c r="M19" s="16">
        <f t="shared" si="2"/>
        <v>2.6666666666666665</v>
      </c>
      <c r="N19" s="16">
        <f t="shared" si="3"/>
        <v>-146.66666666666666</v>
      </c>
      <c r="O19" s="26" t="s">
        <v>51</v>
      </c>
    </row>
    <row r="21" spans="8:15" ht="15.75" customHeight="1"/>
    <row r="22" spans="8:15" ht="15.75" customHeight="1"/>
    <row r="23" spans="8:15" ht="15.75" customHeight="1"/>
    <row r="24" spans="8:15" ht="15.75" customHeight="1"/>
    <row r="25" spans="8:15" ht="15.75" customHeight="1"/>
    <row r="26" spans="8:15" ht="15.75" customHeight="1"/>
    <row r="27" spans="8:15" ht="15.75" customHeight="1"/>
    <row r="28" spans="8:15" ht="15.75" customHeight="1"/>
    <row r="29" spans="8:15" ht="15.75" customHeight="1"/>
    <row r="30" spans="8:15" ht="15.75" customHeight="1"/>
    <row r="31" spans="8:15" ht="15.75" customHeight="1"/>
    <row r="32" spans="8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C4:C8" xr:uid="{00000000-0002-0000-0200-000000000000}">
      <formula1>"Persamaan Linier,Persamaan Kuadrat"</formula1>
    </dataValidation>
  </dataValidations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1000"/>
  <sheetViews>
    <sheetView zoomScale="69" workbookViewId="0">
      <selection activeCell="I17" sqref="I17"/>
    </sheetView>
  </sheetViews>
  <sheetFormatPr defaultColWidth="14.453125" defaultRowHeight="15" customHeight="1"/>
  <cols>
    <col min="1" max="2" width="8.7265625" customWidth="1"/>
    <col min="3" max="3" width="20.1796875" customWidth="1"/>
    <col min="4" max="4" width="17.26953125" customWidth="1"/>
    <col min="5" max="5" width="10.81640625" customWidth="1"/>
    <col min="6" max="6" width="11" customWidth="1"/>
    <col min="7" max="7" width="12.54296875" customWidth="1"/>
    <col min="8" max="8" width="25.1796875" customWidth="1"/>
    <col min="9" max="9" width="15.81640625" customWidth="1"/>
    <col min="10" max="10" width="8.7265625" customWidth="1"/>
    <col min="11" max="11" width="15.26953125" customWidth="1"/>
    <col min="12" max="12" width="17.26953125" customWidth="1"/>
    <col min="13" max="13" width="10.81640625" customWidth="1"/>
    <col min="14" max="14" width="11" customWidth="1"/>
    <col min="15" max="15" width="10.7265625" customWidth="1"/>
    <col min="16" max="16" width="15.7265625" customWidth="1"/>
    <col min="17" max="26" width="8.7265625" customWidth="1"/>
  </cols>
  <sheetData>
    <row r="1" spans="2:16" ht="14.5">
      <c r="B1" s="1" t="s">
        <v>1</v>
      </c>
      <c r="J1" s="1" t="s">
        <v>2</v>
      </c>
    </row>
    <row r="3" spans="2:16" ht="14.5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J3" s="2" t="s">
        <v>3</v>
      </c>
      <c r="K3" s="2" t="s">
        <v>4</v>
      </c>
      <c r="L3" s="2" t="s">
        <v>5</v>
      </c>
      <c r="M3" s="2" t="s">
        <v>6</v>
      </c>
      <c r="N3" s="2" t="s">
        <v>7</v>
      </c>
      <c r="O3" s="2" t="s">
        <v>8</v>
      </c>
      <c r="P3" s="2" t="s">
        <v>9</v>
      </c>
    </row>
    <row r="4" spans="2:16" ht="14.5">
      <c r="B4" s="2" t="s">
        <v>10</v>
      </c>
      <c r="C4" s="3" t="s">
        <v>12</v>
      </c>
      <c r="D4" s="4" t="str">
        <f t="shared" ref="D4:D8" si="0">IF(C4="Persamaan linier","x = at + b",IF(C4="Persamaan kuadrat","x = at² + bt + c",""))</f>
        <v>x = at² + bt + c</v>
      </c>
      <c r="E4" s="3">
        <v>3</v>
      </c>
      <c r="F4" s="3">
        <v>0</v>
      </c>
      <c r="G4" s="3">
        <v>0</v>
      </c>
      <c r="H4" s="4" t="str">
        <f t="shared" ref="H4:H8" si="1">IF(C4="Persamaan linier","x = "&amp;E4&amp;"t"&amp;" + "&amp;F4,IF(C4="Persamaan kuadrat","x = "&amp;E4&amp;"t²"&amp;" + "&amp;F4&amp;"t"&amp;" + "&amp;G4,""))</f>
        <v>x = 3t² + 0t + 0</v>
      </c>
      <c r="J4" s="2" t="s">
        <v>10</v>
      </c>
      <c r="K4" s="3" t="s">
        <v>11</v>
      </c>
      <c r="L4" s="4" t="str">
        <f t="shared" ref="L4:L8" si="2">IF(K4="Persamaan linier","acc = at + b",IF(K4="Persamaan kuadrat","acc = at² + bt + c",""))</f>
        <v>acc = at + b</v>
      </c>
      <c r="M4" s="3">
        <v>0</v>
      </c>
      <c r="N4" s="3">
        <v>6</v>
      </c>
      <c r="O4" s="3">
        <v>0</v>
      </c>
      <c r="P4" s="4" t="str">
        <f>IF(K4="Persamaan linier","acc = "&amp;M4&amp;"t"&amp;" + "&amp;N4,IF(K4="Persamaan kuadrat","acc = "&amp;M4&amp;"t²"&amp;" + "&amp;N4&amp;"t"&amp;" + "&amp;O4,""))</f>
        <v>acc = 0t + 6</v>
      </c>
    </row>
    <row r="5" spans="2:16" ht="14.5">
      <c r="B5" s="2" t="s">
        <v>13</v>
      </c>
      <c r="C5" s="3" t="s">
        <v>12</v>
      </c>
      <c r="D5" s="4" t="str">
        <f t="shared" si="0"/>
        <v>x = at² + bt + c</v>
      </c>
      <c r="E5" s="3">
        <v>0</v>
      </c>
      <c r="F5" s="3">
        <v>60</v>
      </c>
      <c r="G5" s="3">
        <v>-300</v>
      </c>
      <c r="H5" s="4" t="str">
        <f t="shared" si="1"/>
        <v>x = 0t² + 60t + -300</v>
      </c>
      <c r="J5" s="2" t="s">
        <v>13</v>
      </c>
      <c r="K5" s="3" t="s">
        <v>11</v>
      </c>
      <c r="L5" s="4" t="str">
        <f t="shared" si="2"/>
        <v>acc = at + b</v>
      </c>
      <c r="M5" s="3">
        <v>0</v>
      </c>
      <c r="N5" s="3">
        <v>0</v>
      </c>
      <c r="P5" s="4" t="str">
        <f t="shared" ref="P5:P8" si="3">IF(K5="Persamaan linier","v = "&amp;M5&amp;"t"&amp;" + "&amp;N5,IF(K5="Persamaan kuadrat","v = "&amp;M5&amp;"t²"&amp;" + "&amp;N5&amp;"t"&amp;" + "&amp;O5,""))</f>
        <v>v = 0t + 0</v>
      </c>
    </row>
    <row r="6" spans="2:16" ht="14.5">
      <c r="B6" s="2" t="s">
        <v>14</v>
      </c>
      <c r="C6" s="3" t="s">
        <v>12</v>
      </c>
      <c r="D6" s="4" t="str">
        <f t="shared" si="0"/>
        <v>x = at² + bt + c</v>
      </c>
      <c r="E6" s="3">
        <v>-2</v>
      </c>
      <c r="F6" s="3">
        <v>120</v>
      </c>
      <c r="G6" s="3">
        <v>-450</v>
      </c>
      <c r="H6" s="4" t="str">
        <f t="shared" si="1"/>
        <v>x = -2t² + 120t + -450</v>
      </c>
      <c r="J6" s="2" t="s">
        <v>14</v>
      </c>
      <c r="K6" s="3" t="s">
        <v>11</v>
      </c>
      <c r="L6" s="4" t="str">
        <f t="shared" si="2"/>
        <v>acc = at + b</v>
      </c>
      <c r="M6" s="3">
        <v>0</v>
      </c>
      <c r="N6" s="3">
        <v>-4</v>
      </c>
      <c r="O6" s="3">
        <v>0</v>
      </c>
      <c r="P6" s="4" t="str">
        <f t="shared" si="3"/>
        <v>v = 0t + -4</v>
      </c>
    </row>
    <row r="7" spans="2:16" ht="14.5">
      <c r="B7" s="2" t="s">
        <v>15</v>
      </c>
      <c r="C7" s="3" t="s">
        <v>12</v>
      </c>
      <c r="D7" s="4" t="str">
        <f t="shared" si="0"/>
        <v>x = at² + bt + c</v>
      </c>
      <c r="E7" s="3">
        <v>-2</v>
      </c>
      <c r="F7" s="3">
        <v>120</v>
      </c>
      <c r="G7" s="3">
        <v>-1350</v>
      </c>
      <c r="H7" s="4" t="str">
        <f t="shared" si="1"/>
        <v>x = -2t² + 120t + -1350</v>
      </c>
      <c r="J7" s="2" t="s">
        <v>15</v>
      </c>
      <c r="K7" s="3" t="s">
        <v>11</v>
      </c>
      <c r="L7" s="4" t="str">
        <f t="shared" si="2"/>
        <v>acc = at + b</v>
      </c>
      <c r="M7" s="3">
        <v>0</v>
      </c>
      <c r="N7" s="3">
        <v>-4</v>
      </c>
      <c r="O7" s="3">
        <v>0</v>
      </c>
      <c r="P7" s="4" t="str">
        <f t="shared" si="3"/>
        <v>v = 0t + -4</v>
      </c>
    </row>
    <row r="8" spans="2:16" ht="14.5">
      <c r="B8" s="2" t="s">
        <v>16</v>
      </c>
      <c r="C8" s="3" t="s">
        <v>12</v>
      </c>
      <c r="D8" s="4" t="str">
        <f t="shared" si="0"/>
        <v>x = at² + bt + c</v>
      </c>
      <c r="E8" s="3" t="s">
        <v>20</v>
      </c>
      <c r="F8" s="3" t="s">
        <v>21</v>
      </c>
      <c r="G8" s="3" t="s">
        <v>22</v>
      </c>
      <c r="H8" s="4" t="str">
        <f t="shared" si="1"/>
        <v>x = 1,33t² + -146,67t + 4033,33</v>
      </c>
      <c r="J8" s="2" t="s">
        <v>16</v>
      </c>
      <c r="K8" s="3" t="s">
        <v>11</v>
      </c>
      <c r="L8" s="4" t="str">
        <f t="shared" si="2"/>
        <v>acc = at + b</v>
      </c>
      <c r="M8" s="3">
        <v>0</v>
      </c>
      <c r="N8" s="3" t="s">
        <v>23</v>
      </c>
      <c r="O8" s="3">
        <v>0</v>
      </c>
      <c r="P8" s="4" t="str">
        <f t="shared" si="3"/>
        <v>v = 0t + 2,67</v>
      </c>
    </row>
    <row r="9" spans="2:16" ht="14.5">
      <c r="B9" s="5" t="s">
        <v>19</v>
      </c>
      <c r="J9" s="5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ErrorMessage="1" sqref="C4:C8 K4:K8" xr:uid="{00000000-0002-0000-0300-000000000000}">
      <formula1>"Persamaan Linier,Persamaan Kuadrat"</formula1>
    </dataValidation>
  </dataValidation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No.1</vt:lpstr>
      <vt:lpstr>No.2</vt:lpstr>
      <vt:lpstr>No.3</vt:lpstr>
      <vt:lpstr>No.4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Alexander Rusli</dc:creator>
  <cp:lastModifiedBy>ovan jas</cp:lastModifiedBy>
  <dcterms:created xsi:type="dcterms:W3CDTF">2026-09-09T10:51:31Z</dcterms:created>
  <dcterms:modified xsi:type="dcterms:W3CDTF">2026-09-15T18:04:55Z</dcterms:modified>
</cp:coreProperties>
</file>